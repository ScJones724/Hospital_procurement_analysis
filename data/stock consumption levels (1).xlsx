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Sheet1" sheetId="1" r:id="rId1"/>
  </sheets>
  <definedNames>
    <definedName name="_xlnm.Print_Area" localSheetId="0">Sheet1!$A$1:$H$53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<sst xmlns="http://schemas.openxmlformats.org/spreadsheetml/2006/main" count="105" uniqueCount="64">
  <si>
    <t>ITEM DESCRIPTION</t>
  </si>
  <si>
    <t>in stock</t>
  </si>
  <si>
    <t>Consumption per month</t>
  </si>
  <si>
    <t>Consumption in 3 months</t>
  </si>
  <si>
    <t>To purchase</t>
  </si>
  <si>
    <t>latex gloves</t>
  </si>
  <si>
    <t>pkts of 100</t>
  </si>
  <si>
    <t>sterile surgical gloves 6.5</t>
  </si>
  <si>
    <t xml:space="preserve"> pks of 50</t>
  </si>
  <si>
    <t>sterile surgical gloves 7</t>
  </si>
  <si>
    <t>sterile surgical gloves 7.5</t>
  </si>
  <si>
    <t>sterile surgical gloves 8</t>
  </si>
  <si>
    <t>Gynaecological gloves</t>
  </si>
  <si>
    <t>pkts of 50</t>
  </si>
  <si>
    <t>Red bin liners 30 x 36</t>
  </si>
  <si>
    <t>pcs</t>
  </si>
  <si>
    <t>yellow bin liners 30 x 36</t>
  </si>
  <si>
    <t>black bin liners 30 x 36</t>
  </si>
  <si>
    <t>syringes  20cc</t>
  </si>
  <si>
    <t xml:space="preserve">syringes 10 cc </t>
  </si>
  <si>
    <t>syringes 5 cc</t>
  </si>
  <si>
    <t>syringes 2cc</t>
  </si>
  <si>
    <t>cotton wool 400GMS</t>
  </si>
  <si>
    <t>Pcs</t>
  </si>
  <si>
    <t>zinc oxide strapping 4"</t>
  </si>
  <si>
    <t>jik 5ltrs 4-6%</t>
  </si>
  <si>
    <t>cannula G18</t>
  </si>
  <si>
    <t>Cannula G24</t>
  </si>
  <si>
    <t>Cannula 16</t>
  </si>
  <si>
    <t>cannula G 26</t>
  </si>
  <si>
    <t>cannula G22</t>
  </si>
  <si>
    <t>cannula G20</t>
  </si>
  <si>
    <t>catheters size 16</t>
  </si>
  <si>
    <t>pkt of 10's</t>
  </si>
  <si>
    <t>catheters size 18</t>
  </si>
  <si>
    <t>urine bags</t>
  </si>
  <si>
    <t>crepe bandages 6"</t>
  </si>
  <si>
    <t>dozens</t>
  </si>
  <si>
    <t>pop   6"</t>
  </si>
  <si>
    <t>pairs</t>
  </si>
  <si>
    <t>surgicell 10 x 20cm</t>
  </si>
  <si>
    <t>Nylon sutures 2/0 RC</t>
  </si>
  <si>
    <t>Nylon sutures 3/0 RC</t>
  </si>
  <si>
    <t>Nylon sutures 1 RC</t>
  </si>
  <si>
    <t>Vicryl sutures 2/0 RB</t>
  </si>
  <si>
    <t>Vicryl sutures 2/0 RC</t>
  </si>
  <si>
    <t>Vicryl sutures 3/0 RB</t>
  </si>
  <si>
    <t>Vicryl sutures 3/0 RC</t>
  </si>
  <si>
    <t>Vicryl sutures 2  RB</t>
  </si>
  <si>
    <t>Vicryl sutures 2 RC</t>
  </si>
  <si>
    <t>Vicryl sutures 1 RB</t>
  </si>
  <si>
    <t>Vicryl sutures 1 RC</t>
  </si>
  <si>
    <t>Vicryl sutures  4/0 RB</t>
  </si>
  <si>
    <t>Silk Sutures 1 RB</t>
  </si>
  <si>
    <t>Silk Sutures 2/0 RB</t>
  </si>
  <si>
    <t>safety box</t>
  </si>
  <si>
    <t xml:space="preserve">face masks </t>
  </si>
  <si>
    <t>pkt of 50's</t>
  </si>
  <si>
    <t xml:space="preserve">Hand Sanitizers </t>
  </si>
  <si>
    <t xml:space="preserve">paraffin gauze </t>
  </si>
  <si>
    <t>gauze rolls 1.5kgs</t>
  </si>
  <si>
    <t>steranios (Glutaraldehyde 2%) 5ltrs</t>
  </si>
  <si>
    <t>Bactigrass</t>
  </si>
  <si>
    <t xml:space="preserve">Endozyme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</si>
</sst>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3"/>
  <sheetViews>
    <sheetView tabSelected="1" zoomScale="110" zoomScaleNormal="110" workbookViewId="0">
      <pane xSplit="1" ySplit="3" topLeftCell="B18" activePane="bottomRight" state="frozen"/>
      <selection/>
      <selection pane="topRight"/>
      <selection pane="bottomLeft"/>
      <selection pane="bottomRight" activeCell="E30" sqref="E30"/>
    </sheetView>
  </sheetViews>
  <sheetFormatPr defaultColWidth="9" defaultRowHeight="15"/>
  <cols>
    <col min="1" max="1" width="32.7142857142857" customWidth="1"/>
    <col min="2" max="2" width="10.4285714285714" customWidth="1"/>
    <col min="3" max="3" width="4.85714285714286" customWidth="1"/>
    <col min="5" max="5" width="15.2857142857143" customWidth="1"/>
    <col min="6" max="6" width="13.8571428571429" customWidth="1"/>
  </cols>
  <sheetData>
    <row r="3" s="1" customFormat="1" ht="30" spans="1:7">
      <c r="A3" s="1" t="s">
        <v>0</v>
      </c>
      <c r="D3" s="1" t="s">
        <v>1</v>
      </c>
      <c r="E3" s="2" t="s">
        <v>2</v>
      </c>
      <c r="F3" s="2" t="s">
        <v>3</v>
      </c>
      <c r="G3" s="2" t="s">
        <v>4</v>
      </c>
    </row>
    <row r="4" spans="1:6">
      <c r="A4" t="s">
        <v>5</v>
      </c>
      <c r="B4" t="s">
        <v>6</v>
      </c>
      <c r="D4">
        <v>300</v>
      </c>
      <c r="E4">
        <v>650</v>
      </c>
      <c r="F4">
        <f>E4*4*3</f>
        <v>7800</v>
      </c>
    </row>
    <row r="5" spans="1:6">
      <c r="A5" t="s">
        <v>7</v>
      </c>
      <c r="B5" t="s">
        <v>8</v>
      </c>
      <c r="E5">
        <f>100*4</f>
        <v>400</v>
      </c>
      <c r="F5">
        <f>E5*3</f>
        <v>1200</v>
      </c>
    </row>
    <row r="6" spans="1:6">
      <c r="A6" t="s">
        <v>9</v>
      </c>
      <c r="B6" t="s">
        <v>8</v>
      </c>
      <c r="E6" s="3">
        <f>850*4/50</f>
        <v>68</v>
      </c>
      <c r="F6">
        <f t="shared" ref="F6:F52" si="0">E6*3</f>
        <v>204</v>
      </c>
    </row>
    <row r="7" spans="1:6">
      <c r="A7" t="s">
        <v>10</v>
      </c>
      <c r="B7" t="s">
        <v>8</v>
      </c>
      <c r="E7">
        <f>3050*4/50</f>
        <v>244</v>
      </c>
      <c r="F7">
        <f t="shared" si="0"/>
        <v>732</v>
      </c>
    </row>
    <row r="8" spans="1:6">
      <c r="A8" t="s">
        <v>11</v>
      </c>
      <c r="B8" t="s">
        <v>8</v>
      </c>
      <c r="E8" s="4">
        <f>300*4/50</f>
        <v>24</v>
      </c>
      <c r="F8">
        <f t="shared" si="0"/>
        <v>72</v>
      </c>
    </row>
    <row r="9" spans="1:6">
      <c r="A9" t="s">
        <v>12</v>
      </c>
      <c r="B9" t="s">
        <v>13</v>
      </c>
      <c r="E9">
        <v>2</v>
      </c>
      <c r="F9">
        <f t="shared" si="0"/>
        <v>6</v>
      </c>
    </row>
    <row r="10" spans="1:6">
      <c r="A10" t="s">
        <v>14</v>
      </c>
      <c r="B10" t="s">
        <v>15</v>
      </c>
      <c r="E10">
        <f>5200</f>
        <v>5200</v>
      </c>
      <c r="F10">
        <f t="shared" si="0"/>
        <v>15600</v>
      </c>
    </row>
    <row r="11" spans="1:6">
      <c r="A11" t="s">
        <v>16</v>
      </c>
      <c r="B11" t="s">
        <v>15</v>
      </c>
      <c r="E11">
        <v>5200</v>
      </c>
      <c r="F11">
        <f t="shared" si="0"/>
        <v>15600</v>
      </c>
    </row>
    <row r="12" spans="1:6">
      <c r="A12" t="s">
        <v>17</v>
      </c>
      <c r="B12" t="s">
        <v>15</v>
      </c>
      <c r="E12">
        <v>1580</v>
      </c>
      <c r="F12">
        <f t="shared" si="0"/>
        <v>4740</v>
      </c>
    </row>
    <row r="13" spans="1:9">
      <c r="A13" t="s">
        <v>18</v>
      </c>
      <c r="B13" t="s">
        <v>13</v>
      </c>
      <c r="E13">
        <v>225</v>
      </c>
      <c r="F13">
        <f t="shared" si="0"/>
        <v>675</v>
      </c>
      <c r="I13">
        <f>11400/50</f>
        <v>228</v>
      </c>
    </row>
    <row r="14" spans="1:6">
      <c r="A14" t="s">
        <v>19</v>
      </c>
      <c r="B14" t="s">
        <v>6</v>
      </c>
      <c r="E14">
        <v>150</v>
      </c>
      <c r="F14">
        <f t="shared" si="0"/>
        <v>450</v>
      </c>
    </row>
    <row r="15" spans="1:6">
      <c r="A15" t="s">
        <v>20</v>
      </c>
      <c r="B15" t="s">
        <v>6</v>
      </c>
      <c r="E15">
        <v>210</v>
      </c>
      <c r="F15">
        <f t="shared" si="0"/>
        <v>630</v>
      </c>
    </row>
    <row r="16" spans="1:6">
      <c r="A16" t="s">
        <v>21</v>
      </c>
      <c r="B16" t="s">
        <v>6</v>
      </c>
      <c r="E16">
        <v>200</v>
      </c>
      <c r="F16">
        <f t="shared" si="0"/>
        <v>600</v>
      </c>
    </row>
    <row r="17" spans="1:6">
      <c r="A17" t="s">
        <v>22</v>
      </c>
      <c r="B17" t="s">
        <v>23</v>
      </c>
      <c r="E17">
        <v>170</v>
      </c>
      <c r="F17">
        <f t="shared" si="0"/>
        <v>510</v>
      </c>
    </row>
    <row r="18" spans="1:6">
      <c r="A18" t="s">
        <v>24</v>
      </c>
      <c r="B18" t="s">
        <v>23</v>
      </c>
      <c r="E18">
        <v>740</v>
      </c>
      <c r="F18">
        <f t="shared" si="0"/>
        <v>2220</v>
      </c>
    </row>
    <row r="19" spans="1:6">
      <c r="A19" t="s">
        <v>25</v>
      </c>
      <c r="B19" t="s">
        <v>23</v>
      </c>
      <c r="E19">
        <v>175</v>
      </c>
      <c r="F19">
        <f t="shared" si="0"/>
        <v>525</v>
      </c>
    </row>
    <row r="20" spans="1:6">
      <c r="A20" t="s">
        <v>26</v>
      </c>
      <c r="B20" t="s">
        <v>6</v>
      </c>
      <c r="E20">
        <v>22</v>
      </c>
      <c r="F20">
        <f t="shared" si="0"/>
        <v>66</v>
      </c>
    </row>
    <row r="21" spans="1:6">
      <c r="A21" t="s">
        <v>27</v>
      </c>
      <c r="B21" t="s">
        <v>6</v>
      </c>
      <c r="E21">
        <v>15</v>
      </c>
      <c r="F21">
        <f t="shared" si="0"/>
        <v>45</v>
      </c>
    </row>
    <row r="22" spans="1:6">
      <c r="A22" t="s">
        <v>28</v>
      </c>
      <c r="B22" t="s">
        <v>6</v>
      </c>
      <c r="E22">
        <v>2</v>
      </c>
      <c r="F22">
        <f t="shared" si="0"/>
        <v>6</v>
      </c>
    </row>
    <row r="23" spans="1:6">
      <c r="A23" t="s">
        <v>29</v>
      </c>
      <c r="B23" t="s">
        <v>6</v>
      </c>
      <c r="E23">
        <v>7</v>
      </c>
      <c r="F23">
        <f t="shared" si="0"/>
        <v>21</v>
      </c>
    </row>
    <row r="24" spans="1:6">
      <c r="A24" t="s">
        <v>30</v>
      </c>
      <c r="B24" t="s">
        <v>6</v>
      </c>
      <c r="E24">
        <v>22</v>
      </c>
      <c r="F24">
        <f t="shared" si="0"/>
        <v>66</v>
      </c>
    </row>
    <row r="25" spans="1:6">
      <c r="A25" t="s">
        <v>31</v>
      </c>
      <c r="B25" t="s">
        <v>6</v>
      </c>
      <c r="E25">
        <v>30</v>
      </c>
      <c r="F25">
        <f t="shared" si="0"/>
        <v>90</v>
      </c>
    </row>
    <row r="26" spans="1:6">
      <c r="A26" t="s">
        <v>32</v>
      </c>
      <c r="B26" t="s">
        <v>33</v>
      </c>
      <c r="F26">
        <f t="shared" si="0"/>
        <v>0</v>
      </c>
    </row>
    <row r="27" spans="1:6">
      <c r="A27" t="s">
        <v>34</v>
      </c>
      <c r="B27" t="s">
        <v>33</v>
      </c>
      <c r="F27">
        <f t="shared" si="0"/>
        <v>0</v>
      </c>
    </row>
    <row r="28" spans="1:6">
      <c r="A28" t="s">
        <v>35</v>
      </c>
      <c r="B28" t="s">
        <v>33</v>
      </c>
      <c r="F28">
        <f t="shared" si="0"/>
        <v>0</v>
      </c>
    </row>
    <row r="29" spans="1:6">
      <c r="A29" t="s">
        <v>36</v>
      </c>
      <c r="B29" t="s">
        <v>37</v>
      </c>
      <c r="F29">
        <f t="shared" si="0"/>
        <v>0</v>
      </c>
    </row>
    <row r="30" spans="1:6">
      <c r="A30" t="s">
        <v>38</v>
      </c>
      <c r="B30" t="s">
        <v>39</v>
      </c>
      <c r="F30">
        <f t="shared" si="0"/>
        <v>0</v>
      </c>
    </row>
    <row r="31" spans="1:6">
      <c r="A31" t="s">
        <v>40</v>
      </c>
      <c r="B31" t="s">
        <v>37</v>
      </c>
      <c r="E31">
        <v>4</v>
      </c>
      <c r="F31">
        <f t="shared" si="0"/>
        <v>12</v>
      </c>
    </row>
    <row r="32" spans="1:6">
      <c r="A32" t="s">
        <v>41</v>
      </c>
      <c r="B32" t="s">
        <v>37</v>
      </c>
      <c r="E32">
        <v>20</v>
      </c>
      <c r="F32">
        <f t="shared" si="0"/>
        <v>60</v>
      </c>
    </row>
    <row r="33" spans="1:6">
      <c r="A33" t="s">
        <v>42</v>
      </c>
      <c r="B33" t="s">
        <v>37</v>
      </c>
      <c r="E33">
        <v>12</v>
      </c>
      <c r="F33">
        <f t="shared" si="0"/>
        <v>36</v>
      </c>
    </row>
    <row r="34" spans="1:6">
      <c r="A34" t="s">
        <v>43</v>
      </c>
      <c r="B34" t="s">
        <v>37</v>
      </c>
      <c r="E34">
        <v>8</v>
      </c>
      <c r="F34">
        <f t="shared" si="0"/>
        <v>24</v>
      </c>
    </row>
    <row r="35" spans="1:6">
      <c r="A35" t="s">
        <v>44</v>
      </c>
      <c r="B35" t="s">
        <v>37</v>
      </c>
      <c r="E35">
        <v>16</v>
      </c>
      <c r="F35">
        <f t="shared" si="0"/>
        <v>48</v>
      </c>
    </row>
    <row r="36" spans="1:6">
      <c r="A36" t="s">
        <v>45</v>
      </c>
      <c r="B36" t="s">
        <v>37</v>
      </c>
      <c r="E36">
        <v>32</v>
      </c>
      <c r="F36">
        <f t="shared" si="0"/>
        <v>96</v>
      </c>
    </row>
    <row r="37" spans="1:6">
      <c r="A37" t="s">
        <v>46</v>
      </c>
      <c r="B37" t="s">
        <v>37</v>
      </c>
      <c r="E37">
        <v>12</v>
      </c>
      <c r="F37">
        <f t="shared" si="0"/>
        <v>36</v>
      </c>
    </row>
    <row r="38" spans="1:6">
      <c r="A38" t="s">
        <v>47</v>
      </c>
      <c r="B38" t="s">
        <v>37</v>
      </c>
      <c r="E38">
        <v>12</v>
      </c>
      <c r="F38">
        <f t="shared" si="0"/>
        <v>36</v>
      </c>
    </row>
    <row r="39" spans="1:6">
      <c r="A39" t="s">
        <v>48</v>
      </c>
      <c r="B39" t="s">
        <v>37</v>
      </c>
      <c r="E39">
        <v>40</v>
      </c>
      <c r="F39">
        <f t="shared" si="0"/>
        <v>120</v>
      </c>
    </row>
    <row r="40" spans="1:6">
      <c r="A40" t="s">
        <v>49</v>
      </c>
      <c r="B40" t="s">
        <v>37</v>
      </c>
      <c r="E40">
        <v>12</v>
      </c>
      <c r="F40">
        <f t="shared" si="0"/>
        <v>36</v>
      </c>
    </row>
    <row r="41" spans="1:6">
      <c r="A41" t="s">
        <v>50</v>
      </c>
      <c r="B41" t="s">
        <v>37</v>
      </c>
      <c r="E41">
        <v>20</v>
      </c>
      <c r="F41">
        <f t="shared" si="0"/>
        <v>60</v>
      </c>
    </row>
    <row r="42" spans="1:6">
      <c r="A42" t="s">
        <v>51</v>
      </c>
      <c r="B42" t="s">
        <v>37</v>
      </c>
      <c r="E42">
        <v>20</v>
      </c>
      <c r="F42">
        <f t="shared" si="0"/>
        <v>60</v>
      </c>
    </row>
    <row r="43" spans="1:6">
      <c r="A43" t="s">
        <v>52</v>
      </c>
      <c r="B43" t="s">
        <v>37</v>
      </c>
      <c r="E43">
        <v>4</v>
      </c>
      <c r="F43">
        <f t="shared" si="0"/>
        <v>12</v>
      </c>
    </row>
    <row r="44" spans="1:6">
      <c r="A44" t="s">
        <v>53</v>
      </c>
      <c r="B44" t="s">
        <v>37</v>
      </c>
      <c r="E44">
        <v>4</v>
      </c>
      <c r="F44">
        <f t="shared" si="0"/>
        <v>12</v>
      </c>
    </row>
    <row r="45" spans="1:6">
      <c r="A45" t="s">
        <v>54</v>
      </c>
      <c r="B45" t="s">
        <v>37</v>
      </c>
      <c r="E45">
        <v>4</v>
      </c>
      <c r="F45">
        <f t="shared" si="0"/>
        <v>12</v>
      </c>
    </row>
    <row r="46" spans="1:6">
      <c r="A46" t="s">
        <v>55</v>
      </c>
      <c r="B46" t="s">
        <v>15</v>
      </c>
      <c r="F46">
        <f t="shared" si="0"/>
        <v>0</v>
      </c>
    </row>
    <row r="47" spans="1:6">
      <c r="A47" t="s">
        <v>56</v>
      </c>
      <c r="B47" t="s">
        <v>57</v>
      </c>
      <c r="F47">
        <f t="shared" si="0"/>
        <v>0</v>
      </c>
    </row>
    <row r="48" spans="1:6">
      <c r="A48" t="s">
        <v>58</v>
      </c>
      <c r="B48" t="s">
        <v>23</v>
      </c>
      <c r="F48">
        <f t="shared" si="0"/>
        <v>0</v>
      </c>
    </row>
    <row r="49" spans="1:6">
      <c r="A49" t="s">
        <v>59</v>
      </c>
      <c r="B49" t="s">
        <v>33</v>
      </c>
      <c r="F49">
        <f t="shared" si="0"/>
        <v>0</v>
      </c>
    </row>
    <row r="50" spans="1:6">
      <c r="A50" t="s">
        <v>60</v>
      </c>
      <c r="B50" t="s">
        <v>23</v>
      </c>
      <c r="F50">
        <f t="shared" si="0"/>
        <v>0</v>
      </c>
    </row>
    <row r="51" spans="1:6">
      <c r="A51" t="s">
        <v>61</v>
      </c>
      <c r="B51" t="s">
        <v>23</v>
      </c>
      <c r="E51">
        <v>6</v>
      </c>
      <c r="F51">
        <f t="shared" si="0"/>
        <v>18</v>
      </c>
    </row>
    <row r="52" spans="1:2">
      <c r="A52" t="s">
        <v>62</v>
      </c>
      <c r="B52" t="s">
        <v>33</v>
      </c>
    </row>
    <row r="53" spans="1:6">
      <c r="A53" t="s">
        <v>63</v>
      </c>
      <c r="B53" t="s">
        <v>15</v>
      </c>
      <c r="E53">
        <v>17</v>
      </c>
      <c r="F53">
        <f>E53*3</f>
        <v>51</v>
      </c>
    </row>
  </sheetData>
  <pageMargins left="0.7" right="0.7" top="0.75" bottom="0.75" header="0.3" footer="0.3"/>
  <pageSetup paperSize="1" scale="85" orientation="portrait"/>
  <headerFooter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2026-03-17T05:07:00Z</dcterms:created>
  <dcterms:modified xsi:type="dcterms:W3CDTF">2026-03-17T10:08:31Z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BA5F91E052CA4EC6962457A87E58705E_12</vt:lpwstr>
  </property>
  <property fmtid="{D5CDD505-2E9C-101B-9397-08002B2CF9AE}" pid="3" name="KSOProductBuildVer">
    <vt:lpwstr>1033-12.2.0.23196</vt:lpwstr>
  </property>
</Properties>
</file>
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ock take " sheetId="1" r:id="rId1"/>
    <sheet name="expired items" sheetId="2" r:id="rId2"/>
  </sheets>
  <definedNames>
    <definedName name="_xlnm.Print_Area" localSheetId="0">'stock take '!$A$1:$H$69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<sst xmlns="http://schemas.openxmlformats.org/spreadsheetml/2006/main" count="396" uniqueCount="196">
  <si>
    <t>ITEM DESCRIPTION</t>
  </si>
  <si>
    <t>expiry date</t>
  </si>
  <si>
    <t>STOCK TAKE</t>
  </si>
  <si>
    <t>previous stock</t>
  </si>
  <si>
    <t>variance</t>
  </si>
  <si>
    <t>latex gloves</t>
  </si>
  <si>
    <t>pkts of 100</t>
  </si>
  <si>
    <t>nil</t>
  </si>
  <si>
    <t>sterile surgical gloves 6.5</t>
  </si>
  <si>
    <t>pairs</t>
  </si>
  <si>
    <t>sterile surgical gloves 7.0</t>
  </si>
  <si>
    <t>sterile surgical gloves 7.5</t>
  </si>
  <si>
    <t>sterile surgical gloves 8.0</t>
  </si>
  <si>
    <t>Gynaecological gloves</t>
  </si>
  <si>
    <t>Red bin liners 30 x 36</t>
  </si>
  <si>
    <t>pcs</t>
  </si>
  <si>
    <t>yellow bin liners 30 x 36</t>
  </si>
  <si>
    <t>black bin liners 30 x 36</t>
  </si>
  <si>
    <t>syringes  20cc</t>
  </si>
  <si>
    <t>pkts of 50</t>
  </si>
  <si>
    <t xml:space="preserve">syringes 10 cc </t>
  </si>
  <si>
    <t>syringes 5 cc</t>
  </si>
  <si>
    <t>syringes 2cc</t>
  </si>
  <si>
    <t>cotton wool 400GMS</t>
  </si>
  <si>
    <t>rolls</t>
  </si>
  <si>
    <t>jik 5ltrs 4-6%</t>
  </si>
  <si>
    <t>Pcs</t>
  </si>
  <si>
    <t>cannula G18</t>
  </si>
  <si>
    <t>Cannula G24</t>
  </si>
  <si>
    <t>Cannula 16</t>
  </si>
  <si>
    <t>cannula G 26</t>
  </si>
  <si>
    <t>cannula G22</t>
  </si>
  <si>
    <t>cannula G20</t>
  </si>
  <si>
    <t>catheters size 16</t>
  </si>
  <si>
    <t>pkt of 10's</t>
  </si>
  <si>
    <t>catheters size 18</t>
  </si>
  <si>
    <t>urine bags</t>
  </si>
  <si>
    <t>crepe bandages 6"</t>
  </si>
  <si>
    <t>dozens</t>
  </si>
  <si>
    <t>pop   6"</t>
  </si>
  <si>
    <t>surgicell 10 x 20cm</t>
  </si>
  <si>
    <t>Nylon sutures 2 RB (40mm</t>
  </si>
  <si>
    <t>Nylon sutures 2/0 RC</t>
  </si>
  <si>
    <t>Nylon sutures 3/0 RB</t>
  </si>
  <si>
    <t>Nylon sutures 3/0 RC</t>
  </si>
  <si>
    <t>Nylon sutures 1 RC 40 mm</t>
  </si>
  <si>
    <t>Vicryl sutures 2/0 RB 40mm</t>
  </si>
  <si>
    <t>Vicryl sutures 2/0 RB 36mm</t>
  </si>
  <si>
    <t>Vicryl sutures 2/0 RC 40mm</t>
  </si>
  <si>
    <t>Vicryl sutures 2/0 RC 36mm</t>
  </si>
  <si>
    <t>Vicryl sutures 3/0 RB</t>
  </si>
  <si>
    <t>Vicryl sutures 3/0 RC</t>
  </si>
  <si>
    <t>Vicryl sutures 2  RB</t>
  </si>
  <si>
    <t>Vicryl sutures 2 RC</t>
  </si>
  <si>
    <t>Vicryl sutures 1 RB</t>
  </si>
  <si>
    <t>Vicryl sutures 1 RC 40mm</t>
  </si>
  <si>
    <t>Vicryl sutures  4/0 RC 40mm</t>
  </si>
  <si>
    <t>Vicryl sutures  4/0 RB</t>
  </si>
  <si>
    <t>Silk Sutures 1 RB</t>
  </si>
  <si>
    <t>Silk Sutures 2/0 RC (35 mm)</t>
  </si>
  <si>
    <t>Silk Sutures 2/0 RB 40mm</t>
  </si>
  <si>
    <t>Silk Sutures 2 RB 40mm</t>
  </si>
  <si>
    <t>Synthecon 4/0 RB 26 MM</t>
  </si>
  <si>
    <t>Synthecon 5/0 RC 19 MM</t>
  </si>
  <si>
    <t>Synthecon 5/0 RB 17 MM</t>
  </si>
  <si>
    <t>Synthecon 6/0 RC 19 MM</t>
  </si>
  <si>
    <t>Synthecon 6/0 RC 13 MM</t>
  </si>
  <si>
    <t>Polyproplene 5/0 RB 13mm</t>
  </si>
  <si>
    <t>Surgicril 6/0 RB 13mm</t>
  </si>
  <si>
    <t>Advacryl 6/0 13mm</t>
  </si>
  <si>
    <t>Dermatech 4/0 RB 17mm</t>
  </si>
  <si>
    <t>Dermacryl 5/0 RB 17mm</t>
  </si>
  <si>
    <t>safety box</t>
  </si>
  <si>
    <t xml:space="preserve">face masks </t>
  </si>
  <si>
    <t>pkt of 50's</t>
  </si>
  <si>
    <t xml:space="preserve">Hand Sanitizers </t>
  </si>
  <si>
    <t>paraffin gauze  10 x 10 cm</t>
  </si>
  <si>
    <t>gauze rolls 1.5kgs</t>
  </si>
  <si>
    <t>steranios (Glutaraldehyde 2%) 5ltrs</t>
  </si>
  <si>
    <t>Bactigrass</t>
  </si>
  <si>
    <t xml:space="preserve">Endozyme </t>
  </si>
  <si>
    <t>Nasal oxygen cannula- neonate</t>
  </si>
  <si>
    <t>Nasal oxygen cannula - paeds</t>
  </si>
  <si>
    <t>Nasal oxygen cannula- infant</t>
  </si>
  <si>
    <t>Nasal oxygen cannula- adult</t>
  </si>
  <si>
    <t>Non-rebreather mask paeds</t>
  </si>
  <si>
    <t>Non-rebreather mask Adult</t>
  </si>
  <si>
    <t>Identification band adult</t>
  </si>
  <si>
    <t>Identification band paeds</t>
  </si>
  <si>
    <t>needles G23</t>
  </si>
  <si>
    <t>pkt of 100's</t>
  </si>
  <si>
    <t xml:space="preserve"> </t>
  </si>
  <si>
    <t>folleys catheter 2 way - sz 12</t>
  </si>
  <si>
    <t>folleys catheter 2 way - sz 16</t>
  </si>
  <si>
    <t>folleys catheter 2 way - sz 18</t>
  </si>
  <si>
    <t>folleys catheter 2 way - sz 10</t>
  </si>
  <si>
    <t>folleys catheter 3 way - sz 22</t>
  </si>
  <si>
    <t xml:space="preserve">Biopsy </t>
  </si>
  <si>
    <t>Tracheostomy 4.5 cuffed</t>
  </si>
  <si>
    <t>Tracheostomy 5.0 cuffed</t>
  </si>
  <si>
    <t>Tracheostomy 7.0 cuffed</t>
  </si>
  <si>
    <t>Tracheostomy 7.5 cuffed</t>
  </si>
  <si>
    <t>P.O.P GYPSONA 6''</t>
  </si>
  <si>
    <t>Pairs</t>
  </si>
  <si>
    <t>Chest drainage catheter with trocar Sz28</t>
  </si>
  <si>
    <t>Chest drainage catheter with trocar Sz14</t>
  </si>
  <si>
    <t>Endotracheal Tube 7.0 cuffed</t>
  </si>
  <si>
    <t>Endotracheal Tube 4.0 cuffed</t>
  </si>
  <si>
    <t>Endotracheal Tube 3.0 cuffed</t>
  </si>
  <si>
    <t>Endotracheal Tube 5.5 cuffed</t>
  </si>
  <si>
    <t>Endotracheal Tube 2.5 cuffed</t>
  </si>
  <si>
    <t>Endotracheal Tube 6.5 cuffed</t>
  </si>
  <si>
    <t>Endotracheal Tube 7.5 cuffed</t>
  </si>
  <si>
    <t>evodrill perforators adult</t>
  </si>
  <si>
    <t>Feeding Tube Sz 16</t>
  </si>
  <si>
    <t>Feeding Tube Sz 14</t>
  </si>
  <si>
    <t>Feeding Tube Sz 12</t>
  </si>
  <si>
    <t>Feeding Tube Sz 10</t>
  </si>
  <si>
    <t>Feeding Tube Sz 08</t>
  </si>
  <si>
    <t>Feeding Tube Sz 06</t>
  </si>
  <si>
    <t>Feeding Tube Sz 04</t>
  </si>
  <si>
    <t>Sunction Catheter Sz 20</t>
  </si>
  <si>
    <t>Sunction Catheter Sz 16</t>
  </si>
  <si>
    <t>Sunction Catheter Sz 14</t>
  </si>
  <si>
    <t>Sunction Catheter Sz 12</t>
  </si>
  <si>
    <t>Sunction Catheter Sz 10</t>
  </si>
  <si>
    <t>Sunction Catheter Sz 08</t>
  </si>
  <si>
    <t>Sunction Catheter Sz 06</t>
  </si>
  <si>
    <t>Z.O.P 4"</t>
  </si>
  <si>
    <t>Z.O.P 3"</t>
  </si>
  <si>
    <t>Primapore  3"</t>
  </si>
  <si>
    <t>AMBU Bag - Adult</t>
  </si>
  <si>
    <t>AMBU Bag - Paeds</t>
  </si>
  <si>
    <t>AMBU Bag - Infant/Neonate</t>
  </si>
  <si>
    <t>Elastic adhesive bandage 6"</t>
  </si>
  <si>
    <t>Harpic Cleaner</t>
  </si>
  <si>
    <t>Polyester Thread</t>
  </si>
  <si>
    <t>Elastic Tape</t>
  </si>
  <si>
    <t>Leather Gloves</t>
  </si>
  <si>
    <t>Laerdel Mask paed</t>
  </si>
  <si>
    <t>Umbilical cord clamps</t>
  </si>
  <si>
    <t>MVA kit</t>
  </si>
  <si>
    <t xml:space="preserve">Skin Tranction Kit </t>
  </si>
  <si>
    <t>Spinal Needle G 22</t>
  </si>
  <si>
    <t>pkts of 25</t>
  </si>
  <si>
    <t>Bone wax</t>
  </si>
  <si>
    <t>Orthopaedic Padding</t>
  </si>
  <si>
    <t>Stethoscope Dual head</t>
  </si>
  <si>
    <t>Salter scale w/o Pant</t>
  </si>
  <si>
    <t>Digital thermometer</t>
  </si>
  <si>
    <t>ANALOG bathroomscale</t>
  </si>
  <si>
    <t>Bp Machine Manual (sphygnomanometre)</t>
  </si>
  <si>
    <t xml:space="preserve">Paper gloves </t>
  </si>
  <si>
    <t xml:space="preserve">Silicon Catheter sz 6 2way </t>
  </si>
  <si>
    <t xml:space="preserve">Silicon Catheter sz 16 2way </t>
  </si>
  <si>
    <t xml:space="preserve">Silicon Catheter sz 8 2way </t>
  </si>
  <si>
    <t>Sterile Gauze swabs 10 x 10 cm</t>
  </si>
  <si>
    <t>Disposable Speculum (M)</t>
  </si>
  <si>
    <t>Disposable Speculum (L)</t>
  </si>
  <si>
    <t>Male condom Catheters</t>
  </si>
  <si>
    <t>Paediatric urine collector</t>
  </si>
  <si>
    <t>Autoclaving Tape 3/4"</t>
  </si>
  <si>
    <t>Colostomy bag adult</t>
  </si>
  <si>
    <t>Colostomy bag Paeds</t>
  </si>
  <si>
    <t>Surgical Blade 15"</t>
  </si>
  <si>
    <t>Surgical Blade 11"</t>
  </si>
  <si>
    <t>Surgical Blade 23"</t>
  </si>
  <si>
    <t>Under water chest drainage bottle</t>
  </si>
  <si>
    <t>Alcohol Swabs</t>
  </si>
  <si>
    <t>ECG Electrodes ADULT</t>
  </si>
  <si>
    <t>ECG Electrodes Paeds</t>
  </si>
  <si>
    <t>Surgical Gown</t>
  </si>
  <si>
    <t>Tongue Depressor</t>
  </si>
  <si>
    <t>Insulin syringes 6mm</t>
  </si>
  <si>
    <t xml:space="preserve">Steranios </t>
  </si>
  <si>
    <t>5ltrs</t>
  </si>
  <si>
    <t>Sanicrub Hand wash 4%</t>
  </si>
  <si>
    <t xml:space="preserve"> VIM 400grams</t>
  </si>
  <si>
    <t>CAN</t>
  </si>
  <si>
    <t>HME Bacteria Adult</t>
  </si>
  <si>
    <t>HME Bacteria Paed</t>
  </si>
  <si>
    <t>Toilet Balls</t>
  </si>
  <si>
    <t>pkts of 6</t>
  </si>
  <si>
    <t xml:space="preserve">Super bright </t>
  </si>
  <si>
    <t>Quantity</t>
  </si>
  <si>
    <t>expiry items</t>
  </si>
  <si>
    <t>Tracheostomy 4.0 cuffed</t>
  </si>
  <si>
    <t>Tracheostomy 7.5 uncuffed</t>
  </si>
  <si>
    <t>IV DRESSING 3000</t>
  </si>
  <si>
    <t>E.T.T  4.5 uncuffed</t>
  </si>
  <si>
    <t>E.T.T  5.5 uncuffed</t>
  </si>
  <si>
    <t>E.T.T  2.5 uncuffed</t>
  </si>
  <si>
    <t>Elastic adhesive Bandage 6"</t>
  </si>
  <si>
    <t xml:space="preserve">Brain swabs </t>
  </si>
  <si>
    <t>Dermatech 4/0 RC 18mm</t>
  </si>
  <si>
    <t>Ethicon RB 17MM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</si>
</sst>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2" fillId="0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65"/>
  <sheetViews>
    <sheetView tabSelected="1" zoomScale="110" zoomScaleNormal="110" workbookViewId="0">
      <pane xSplit="1" ySplit="3" topLeftCell="B32" activePane="bottomRight" state="frozen"/>
      <selection/>
      <selection pane="topRight"/>
      <selection pane="bottomLeft"/>
      <selection pane="bottomRight" activeCell="B35" sqref="A3:F165"/>
    </sheetView>
  </sheetViews>
  <sheetFormatPr defaultColWidth="9" defaultRowHeight="14.5"/>
  <cols>
    <col min="1" max="1" width="37.1363636363636" customWidth="1"/>
    <col min="2" max="3" width="10.4272727272727" customWidth="1"/>
    <col min="4" max="4" width="11.7090909090909" customWidth="1"/>
    <col min="5" max="5" width="15.2818181818182" customWidth="1"/>
    <col min="6" max="6" width="13.8545454545455" customWidth="1"/>
  </cols>
  <sheetData>
    <row r="3" s="1" customFormat="1" spans="1:9">
      <c r="A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/>
    </row>
    <row r="4" spans="1:9">
      <c r="A4" t="s">
        <v>5</v>
      </c>
      <c r="B4" t="s">
        <v>6</v>
      </c>
      <c r="C4" s="3">
        <v>47757</v>
      </c>
      <c r="D4">
        <v>1468</v>
      </c>
      <c r="E4" t="s">
        <v>7</v>
      </c>
    </row>
    <row r="5" spans="1:9">
      <c r="A5" t="s">
        <v>8</v>
      </c>
      <c r="B5" t="s">
        <v>9</v>
      </c>
      <c r="C5" s="3">
        <v>47696</v>
      </c>
      <c r="D5">
        <v>650</v>
      </c>
      <c r="E5">
        <v>700</v>
      </c>
    </row>
    <row r="6" spans="1:9">
      <c r="A6" t="s">
        <v>10</v>
      </c>
      <c r="B6" t="s">
        <v>9</v>
      </c>
      <c r="C6" s="3">
        <v>47604</v>
      </c>
      <c r="D6">
        <v>4750</v>
      </c>
      <c r="E6" s="5">
        <v>250</v>
      </c>
    </row>
    <row r="7" spans="1:9">
      <c r="A7" t="s">
        <v>11</v>
      </c>
      <c r="B7" t="s">
        <v>9</v>
      </c>
      <c r="C7" s="3">
        <v>47696</v>
      </c>
      <c r="D7">
        <v>5250</v>
      </c>
      <c r="E7">
        <v>487</v>
      </c>
    </row>
    <row r="8" spans="1:9">
      <c r="A8" t="s">
        <v>12</v>
      </c>
      <c r="B8" t="s">
        <v>9</v>
      </c>
      <c r="C8" s="3">
        <v>47665</v>
      </c>
      <c r="D8">
        <v>450</v>
      </c>
      <c r="E8" s="6" t="s">
        <v>7</v>
      </c>
    </row>
    <row r="9" spans="1:9">
      <c r="A9" t="s">
        <v>13</v>
      </c>
      <c r="B9" t="s">
        <v>9</v>
      </c>
      <c r="C9" s="3">
        <v>46266</v>
      </c>
      <c r="D9">
        <v>2331</v>
      </c>
      <c r="E9">
        <v>1034</v>
      </c>
    </row>
    <row r="10" spans="1:9">
      <c r="A10" t="s">
        <v>14</v>
      </c>
      <c r="B10" t="s">
        <v>15</v>
      </c>
      <c r="C10" t="s">
        <v>7</v>
      </c>
      <c r="D10">
        <v>704</v>
      </c>
      <c r="E10">
        <v>701</v>
      </c>
    </row>
    <row r="11" spans="1:9">
      <c r="A11" t="s">
        <v>16</v>
      </c>
      <c r="B11" t="s">
        <v>15</v>
      </c>
      <c r="C11" t="s">
        <v>7</v>
      </c>
      <c r="D11">
        <v>1120</v>
      </c>
      <c r="E11" t="s">
        <v>7</v>
      </c>
    </row>
    <row r="12" spans="1:9">
      <c r="A12" t="s">
        <v>17</v>
      </c>
      <c r="B12" t="s">
        <v>15</v>
      </c>
      <c r="C12" t="s">
        <v>7</v>
      </c>
      <c r="D12">
        <v>668</v>
      </c>
      <c r="E12" t="s">
        <v>7</v>
      </c>
    </row>
    <row r="13" spans="1:9">
      <c r="A13" t="s">
        <v>18</v>
      </c>
      <c r="B13" t="s">
        <v>19</v>
      </c>
      <c r="C13" s="3">
        <v>47727</v>
      </c>
      <c r="D13">
        <v>10</v>
      </c>
      <c r="E13">
        <v>0</v>
      </c>
      <c r="I13">
        <f>11400/50</f>
        <v>228</v>
      </c>
    </row>
    <row r="14" spans="1:9">
      <c r="A14" t="s">
        <v>20</v>
      </c>
      <c r="B14" t="s">
        <v>6</v>
      </c>
    </row>
    <row r="15" spans="1:9">
      <c r="A15" t="s">
        <v>21</v>
      </c>
      <c r="B15" t="s">
        <v>6</v>
      </c>
      <c r="C15" s="3">
        <v>47818</v>
      </c>
      <c r="D15">
        <v>10</v>
      </c>
      <c r="E15">
        <v>26</v>
      </c>
    </row>
    <row r="16" spans="1:9">
      <c r="A16" t="s">
        <v>22</v>
      </c>
      <c r="B16" t="s">
        <v>6</v>
      </c>
      <c r="C16" s="3">
        <v>47818</v>
      </c>
      <c r="D16">
        <v>9</v>
      </c>
      <c r="E16">
        <v>0</v>
      </c>
    </row>
    <row r="17" spans="1:5">
      <c r="A17" t="s">
        <v>23</v>
      </c>
      <c r="B17" t="s">
        <v>24</v>
      </c>
      <c r="C17" s="3">
        <v>47604</v>
      </c>
      <c r="D17">
        <v>470</v>
      </c>
      <c r="E17">
        <v>7</v>
      </c>
    </row>
    <row r="18" spans="1:5">
      <c r="A18" t="s">
        <v>25</v>
      </c>
      <c r="B18" t="s">
        <v>26</v>
      </c>
    </row>
    <row r="19" spans="1:5">
      <c r="A19" t="s">
        <v>27</v>
      </c>
      <c r="B19" t="s">
        <v>15</v>
      </c>
      <c r="C19" s="3">
        <v>47635</v>
      </c>
      <c r="D19">
        <v>2808</v>
      </c>
      <c r="E19">
        <v>1500</v>
      </c>
    </row>
    <row r="20" spans="1:5">
      <c r="A20" t="s">
        <v>28</v>
      </c>
      <c r="B20" t="s">
        <v>15</v>
      </c>
      <c r="C20" s="3">
        <v>47696</v>
      </c>
      <c r="D20">
        <v>2470</v>
      </c>
      <c r="E20" t="s">
        <v>7</v>
      </c>
    </row>
    <row r="21" spans="1:5">
      <c r="A21" t="s">
        <v>29</v>
      </c>
      <c r="B21" t="s">
        <v>15</v>
      </c>
      <c r="C21" s="3">
        <v>47574</v>
      </c>
      <c r="D21">
        <v>1010</v>
      </c>
      <c r="E21">
        <v>0</v>
      </c>
    </row>
    <row r="22" spans="1:5">
      <c r="A22" t="s">
        <v>30</v>
      </c>
      <c r="B22" t="s">
        <v>15</v>
      </c>
      <c r="C22" s="3">
        <v>47574</v>
      </c>
      <c r="D22">
        <v>407</v>
      </c>
      <c r="E22">
        <v>800</v>
      </c>
    </row>
    <row r="23" spans="1:5">
      <c r="A23" t="s">
        <v>31</v>
      </c>
      <c r="B23" t="s">
        <v>15</v>
      </c>
      <c r="C23" s="3">
        <v>47727</v>
      </c>
      <c r="D23">
        <v>411</v>
      </c>
      <c r="E23">
        <v>0</v>
      </c>
    </row>
    <row r="24" spans="1:5">
      <c r="A24" t="s">
        <v>32</v>
      </c>
      <c r="B24" t="s">
        <v>6</v>
      </c>
      <c r="C24" s="3">
        <v>47635</v>
      </c>
      <c r="D24">
        <v>2300</v>
      </c>
      <c r="E24">
        <v>1173</v>
      </c>
    </row>
    <row r="25" spans="1:5">
      <c r="A25" t="s">
        <v>33</v>
      </c>
      <c r="B25" t="s">
        <v>34</v>
      </c>
    </row>
    <row r="26" spans="1:5">
      <c r="A26" t="s">
        <v>35</v>
      </c>
      <c r="B26" t="s">
        <v>34</v>
      </c>
    </row>
    <row r="27" spans="1:5">
      <c r="A27" t="s">
        <v>36</v>
      </c>
      <c r="B27" t="s">
        <v>15</v>
      </c>
      <c r="C27" s="3">
        <v>47665</v>
      </c>
      <c r="D27">
        <v>910</v>
      </c>
      <c r="E27">
        <v>353</v>
      </c>
    </row>
    <row r="28" spans="1:5">
      <c r="A28" t="s">
        <v>37</v>
      </c>
      <c r="B28" t="s">
        <v>38</v>
      </c>
    </row>
    <row r="29" spans="1:5">
      <c r="A29" t="s">
        <v>39</v>
      </c>
      <c r="B29" t="s">
        <v>9</v>
      </c>
    </row>
    <row r="30" spans="1:5">
      <c r="A30" t="s">
        <v>40</v>
      </c>
      <c r="B30" t="s">
        <v>38</v>
      </c>
    </row>
    <row r="31" spans="1:5">
      <c r="A31" t="s">
        <v>41</v>
      </c>
      <c r="B31" t="s">
        <v>38</v>
      </c>
      <c r="C31" s="3">
        <v>47543</v>
      </c>
      <c r="D31">
        <v>21</v>
      </c>
      <c r="E31">
        <v>28</v>
      </c>
    </row>
    <row r="32" spans="1:5">
      <c r="A32" t="s">
        <v>42</v>
      </c>
      <c r="B32" t="s">
        <v>38</v>
      </c>
      <c r="C32" s="3">
        <v>47665</v>
      </c>
      <c r="D32">
        <v>21</v>
      </c>
      <c r="E32">
        <v>90</v>
      </c>
    </row>
    <row r="33" spans="1:5">
      <c r="A33" t="s">
        <v>43</v>
      </c>
      <c r="B33" t="s">
        <v>38</v>
      </c>
    </row>
    <row r="34" spans="1:5">
      <c r="A34" t="s">
        <v>44</v>
      </c>
      <c r="B34" t="s">
        <v>38</v>
      </c>
      <c r="C34" s="3">
        <v>47515</v>
      </c>
      <c r="D34">
        <v>107</v>
      </c>
      <c r="E34" t="s">
        <v>7</v>
      </c>
    </row>
    <row r="35" spans="1:5">
      <c r="A35" t="s">
        <v>45</v>
      </c>
      <c r="B35" t="s">
        <v>38</v>
      </c>
      <c r="C35" s="3">
        <v>47543</v>
      </c>
      <c r="D35">
        <v>16</v>
      </c>
      <c r="E35">
        <v>86</v>
      </c>
    </row>
    <row r="36" spans="1:5">
      <c r="A36" t="s">
        <v>46</v>
      </c>
      <c r="B36" t="s">
        <v>38</v>
      </c>
      <c r="C36" s="3">
        <v>47604</v>
      </c>
      <c r="D36">
        <v>15</v>
      </c>
      <c r="E36">
        <v>10</v>
      </c>
    </row>
    <row r="37" spans="1:5">
      <c r="A37" t="s">
        <v>47</v>
      </c>
      <c r="B37" t="s">
        <v>38</v>
      </c>
      <c r="C37" s="3">
        <v>47727</v>
      </c>
      <c r="D37">
        <v>12</v>
      </c>
      <c r="E37" t="s">
        <v>7</v>
      </c>
    </row>
    <row r="38" spans="1:5">
      <c r="A38" t="s">
        <v>48</v>
      </c>
      <c r="B38" t="s">
        <v>38</v>
      </c>
      <c r="C38" s="3">
        <v>47665</v>
      </c>
      <c r="D38">
        <v>9</v>
      </c>
      <c r="E38" t="s">
        <v>7</v>
      </c>
    </row>
    <row r="39" spans="1:5">
      <c r="A39" t="s">
        <v>49</v>
      </c>
      <c r="B39" t="s">
        <v>38</v>
      </c>
      <c r="C39" s="3">
        <v>47727</v>
      </c>
      <c r="D39">
        <v>3</v>
      </c>
      <c r="E39" t="s">
        <v>7</v>
      </c>
    </row>
    <row r="40" spans="1:5">
      <c r="A40" t="s">
        <v>50</v>
      </c>
      <c r="B40" t="s">
        <v>38</v>
      </c>
    </row>
    <row r="41" spans="1:5">
      <c r="A41" t="s">
        <v>51</v>
      </c>
      <c r="B41" t="s">
        <v>38</v>
      </c>
    </row>
    <row r="42" spans="1:5">
      <c r="A42" t="s">
        <v>52</v>
      </c>
      <c r="B42" t="s">
        <v>38</v>
      </c>
    </row>
    <row r="43" spans="1:5">
      <c r="A43" t="s">
        <v>53</v>
      </c>
      <c r="B43" t="s">
        <v>38</v>
      </c>
    </row>
    <row r="44" spans="1:5">
      <c r="A44" t="s">
        <v>54</v>
      </c>
      <c r="B44" t="s">
        <v>38</v>
      </c>
    </row>
    <row r="45" spans="1:5">
      <c r="A45" t="s">
        <v>55</v>
      </c>
      <c r="B45" t="s">
        <v>38</v>
      </c>
      <c r="C45" s="3">
        <v>46174</v>
      </c>
      <c r="D45">
        <v>32</v>
      </c>
      <c r="E45">
        <v>124</v>
      </c>
    </row>
    <row r="46" spans="1:5">
      <c r="A46" t="s">
        <v>56</v>
      </c>
      <c r="B46" t="s">
        <v>38</v>
      </c>
      <c r="C46" s="3">
        <v>46174</v>
      </c>
      <c r="D46">
        <v>8</v>
      </c>
      <c r="E46">
        <v>8</v>
      </c>
    </row>
    <row r="47" spans="1:5">
      <c r="A47" t="s">
        <v>57</v>
      </c>
      <c r="B47" t="s">
        <v>38</v>
      </c>
    </row>
    <row r="48" spans="1:5">
      <c r="A48" t="s">
        <v>58</v>
      </c>
      <c r="B48" t="s">
        <v>38</v>
      </c>
    </row>
    <row r="49" spans="1:5">
      <c r="A49" t="s">
        <v>59</v>
      </c>
      <c r="B49" t="s">
        <v>38</v>
      </c>
      <c r="C49" s="3">
        <v>47604</v>
      </c>
      <c r="D49">
        <v>4</v>
      </c>
      <c r="E49">
        <v>4</v>
      </c>
    </row>
    <row r="50" spans="1:5">
      <c r="A50" t="s">
        <v>60</v>
      </c>
      <c r="B50" t="s">
        <v>38</v>
      </c>
      <c r="C50" s="3">
        <v>47788</v>
      </c>
      <c r="D50">
        <v>5</v>
      </c>
      <c r="E50">
        <v>5</v>
      </c>
    </row>
    <row r="51" spans="1:5">
      <c r="A51" t="s">
        <v>61</v>
      </c>
      <c r="B51" t="s">
        <v>38</v>
      </c>
      <c r="C51" s="3">
        <v>47635</v>
      </c>
      <c r="D51">
        <v>4</v>
      </c>
      <c r="E51">
        <v>4</v>
      </c>
    </row>
    <row r="52" spans="1:5">
      <c r="A52" t="s">
        <v>62</v>
      </c>
      <c r="B52" t="s">
        <v>38</v>
      </c>
      <c r="C52" s="3">
        <v>46935</v>
      </c>
      <c r="D52">
        <v>24</v>
      </c>
      <c r="E52">
        <v>24</v>
      </c>
    </row>
    <row r="53" spans="1:5">
      <c r="A53" t="s">
        <v>63</v>
      </c>
      <c r="B53" t="s">
        <v>38</v>
      </c>
      <c r="C53" s="3">
        <v>47058</v>
      </c>
      <c r="D53">
        <v>10</v>
      </c>
      <c r="E53" t="s">
        <v>7</v>
      </c>
    </row>
    <row r="54" spans="1:5">
      <c r="A54" t="s">
        <v>64</v>
      </c>
      <c r="B54" t="s">
        <v>38</v>
      </c>
      <c r="C54" s="3">
        <v>47300</v>
      </c>
      <c r="D54">
        <v>3</v>
      </c>
      <c r="E54" t="s">
        <v>7</v>
      </c>
    </row>
    <row r="55" spans="1:5">
      <c r="A55" t="s">
        <v>65</v>
      </c>
      <c r="B55" t="s">
        <v>38</v>
      </c>
      <c r="C55" s="3">
        <v>47027</v>
      </c>
      <c r="D55">
        <v>9</v>
      </c>
      <c r="E55" t="s">
        <v>7</v>
      </c>
    </row>
    <row r="56" spans="1:5">
      <c r="A56" t="s">
        <v>66</v>
      </c>
      <c r="B56" t="s">
        <v>38</v>
      </c>
      <c r="C56" s="3">
        <v>47331</v>
      </c>
      <c r="D56">
        <v>6</v>
      </c>
      <c r="E56" t="s">
        <v>7</v>
      </c>
    </row>
    <row r="57" spans="1:5">
      <c r="A57" t="s">
        <v>67</v>
      </c>
      <c r="B57" t="s">
        <v>38</v>
      </c>
      <c r="C57" s="3">
        <v>46539</v>
      </c>
      <c r="D57">
        <v>4</v>
      </c>
      <c r="E57" t="s">
        <v>7</v>
      </c>
    </row>
    <row r="58" spans="1:5">
      <c r="A58" t="s">
        <v>68</v>
      </c>
      <c r="B58" t="s">
        <v>38</v>
      </c>
      <c r="C58" s="3">
        <v>47423</v>
      </c>
      <c r="D58">
        <v>8</v>
      </c>
      <c r="E58" t="s">
        <v>7</v>
      </c>
    </row>
    <row r="59" spans="1:5">
      <c r="A59" t="s">
        <v>69</v>
      </c>
      <c r="B59" t="s">
        <v>38</v>
      </c>
      <c r="C59" s="3">
        <v>47453</v>
      </c>
      <c r="D59">
        <v>10</v>
      </c>
      <c r="E59" t="s">
        <v>7</v>
      </c>
    </row>
    <row r="60" spans="1:5">
      <c r="A60" t="s">
        <v>70</v>
      </c>
      <c r="B60" t="s">
        <v>38</v>
      </c>
      <c r="C60" s="3">
        <v>47119</v>
      </c>
      <c r="D60">
        <v>8</v>
      </c>
      <c r="E60" t="s">
        <v>7</v>
      </c>
    </row>
    <row r="61" spans="1:5">
      <c r="A61" t="s">
        <v>71</v>
      </c>
      <c r="B61" t="s">
        <v>38</v>
      </c>
      <c r="C61" s="3">
        <v>47696</v>
      </c>
      <c r="D61">
        <v>10</v>
      </c>
      <c r="E61" t="s">
        <v>7</v>
      </c>
    </row>
    <row r="62" spans="1:5">
      <c r="A62" t="s">
        <v>72</v>
      </c>
      <c r="B62" t="s">
        <v>15</v>
      </c>
    </row>
    <row r="63" spans="1:5">
      <c r="A63" t="s">
        <v>73</v>
      </c>
      <c r="B63" t="s">
        <v>74</v>
      </c>
      <c r="C63" s="3">
        <v>47331</v>
      </c>
      <c r="D63">
        <v>361</v>
      </c>
      <c r="E63">
        <v>432</v>
      </c>
    </row>
    <row r="64" spans="1:5">
      <c r="A64" t="s">
        <v>75</v>
      </c>
      <c r="B64" t="s">
        <v>26</v>
      </c>
    </row>
    <row r="65" spans="1:6">
      <c r="A65" t="s">
        <v>76</v>
      </c>
      <c r="B65" t="s">
        <v>34</v>
      </c>
      <c r="C65" s="3">
        <v>47727</v>
      </c>
      <c r="D65">
        <v>381</v>
      </c>
      <c r="E65" t="s">
        <v>7</v>
      </c>
    </row>
    <row r="66" spans="1:6">
      <c r="A66" t="s">
        <v>77</v>
      </c>
      <c r="B66" t="s">
        <v>26</v>
      </c>
      <c r="C66" s="3">
        <v>47727</v>
      </c>
      <c r="D66">
        <v>208</v>
      </c>
      <c r="E66" t="s">
        <v>7</v>
      </c>
    </row>
    <row r="67" spans="1:6">
      <c r="A67" t="s">
        <v>78</v>
      </c>
      <c r="B67" t="s">
        <v>26</v>
      </c>
    </row>
    <row r="68" spans="1:6">
      <c r="A68" t="s">
        <v>79</v>
      </c>
      <c r="B68" t="s">
        <v>34</v>
      </c>
    </row>
    <row r="69" spans="1:6">
      <c r="A69" t="s">
        <v>80</v>
      </c>
      <c r="B69" t="s">
        <v>15</v>
      </c>
    </row>
    <row r="70" spans="1:6">
      <c r="A70" t="s">
        <v>81</v>
      </c>
      <c r="B70" t="s">
        <v>15</v>
      </c>
      <c r="D70">
        <v>517</v>
      </c>
      <c r="E70">
        <v>0</v>
      </c>
    </row>
    <row r="71" spans="1:6">
      <c r="A71" t="s">
        <v>82</v>
      </c>
      <c r="B71" t="s">
        <v>15</v>
      </c>
      <c r="D71">
        <v>18</v>
      </c>
      <c r="E71">
        <v>78</v>
      </c>
      <c r="F71">
        <f>E71-D71</f>
        <v>60</v>
      </c>
    </row>
    <row r="72" spans="1:6">
      <c r="A72" t="s">
        <v>83</v>
      </c>
      <c r="B72" t="s">
        <v>15</v>
      </c>
      <c r="D72">
        <v>770</v>
      </c>
      <c r="E72">
        <v>0</v>
      </c>
    </row>
    <row r="73" spans="1:6">
      <c r="A73" t="s">
        <v>84</v>
      </c>
      <c r="B73" t="s">
        <v>15</v>
      </c>
      <c r="D73">
        <v>1526</v>
      </c>
      <c r="E73">
        <v>0</v>
      </c>
    </row>
    <row r="74" spans="1:6">
      <c r="A74" t="s">
        <v>85</v>
      </c>
      <c r="B74" t="s">
        <v>15</v>
      </c>
      <c r="D74">
        <v>620</v>
      </c>
      <c r="E74">
        <v>0</v>
      </c>
      <c r="F74">
        <f>E74-D74</f>
        <v>-620</v>
      </c>
    </row>
    <row r="75" spans="1:6">
      <c r="A75" t="s">
        <v>86</v>
      </c>
      <c r="B75" t="s">
        <v>15</v>
      </c>
      <c r="D75">
        <v>10</v>
      </c>
      <c r="E75">
        <v>0</v>
      </c>
    </row>
    <row r="76" spans="1:6">
      <c r="A76" t="s">
        <v>87</v>
      </c>
      <c r="B76" t="s">
        <v>15</v>
      </c>
      <c r="C76" s="3">
        <v>46966</v>
      </c>
      <c r="D76">
        <v>5200</v>
      </c>
      <c r="E76">
        <v>87</v>
      </c>
    </row>
    <row r="77" spans="1:6">
      <c r="A77" t="s">
        <v>88</v>
      </c>
      <c r="B77" t="s">
        <v>15</v>
      </c>
      <c r="C77" s="3">
        <v>46235</v>
      </c>
      <c r="D77">
        <v>2300</v>
      </c>
      <c r="E77">
        <v>600</v>
      </c>
    </row>
    <row r="78" spans="1:6">
      <c r="A78" t="s">
        <v>89</v>
      </c>
      <c r="B78" t="s">
        <v>90</v>
      </c>
      <c r="C78" s="3">
        <v>47727</v>
      </c>
      <c r="D78">
        <v>3</v>
      </c>
      <c r="E78" t="s">
        <v>91</v>
      </c>
    </row>
    <row r="79" spans="1:6">
      <c r="A79" t="s">
        <v>92</v>
      </c>
      <c r="B79" t="s">
        <v>15</v>
      </c>
      <c r="C79" s="3">
        <v>46388</v>
      </c>
      <c r="D79">
        <v>15</v>
      </c>
    </row>
    <row r="80" spans="1:6">
      <c r="A80" t="s">
        <v>93</v>
      </c>
      <c r="B80" t="s">
        <v>15</v>
      </c>
      <c r="C80" s="3">
        <v>47635</v>
      </c>
      <c r="D80">
        <v>88</v>
      </c>
      <c r="E80">
        <v>46</v>
      </c>
    </row>
    <row r="81" spans="1:5">
      <c r="A81" t="s">
        <v>94</v>
      </c>
      <c r="B81" t="s">
        <v>15</v>
      </c>
      <c r="C81" s="3">
        <v>47515</v>
      </c>
      <c r="D81">
        <v>37</v>
      </c>
      <c r="E81">
        <v>42</v>
      </c>
    </row>
    <row r="82" spans="1:5">
      <c r="A82" t="s">
        <v>95</v>
      </c>
      <c r="B82" t="s">
        <v>15</v>
      </c>
      <c r="C82" s="3">
        <v>46388</v>
      </c>
      <c r="D82">
        <v>16</v>
      </c>
      <c r="E82">
        <v>0</v>
      </c>
    </row>
    <row r="83" spans="1:5">
      <c r="A83" t="s">
        <v>96</v>
      </c>
      <c r="B83" t="s">
        <v>26</v>
      </c>
      <c r="C83" s="3">
        <v>46966</v>
      </c>
      <c r="D83">
        <v>3</v>
      </c>
      <c r="E83">
        <v>3</v>
      </c>
    </row>
    <row r="84" spans="1:5">
      <c r="A84" t="s">
        <v>97</v>
      </c>
      <c r="B84" t="s">
        <v>15</v>
      </c>
      <c r="C84" s="3">
        <v>47574</v>
      </c>
      <c r="D84">
        <v>11</v>
      </c>
      <c r="E84">
        <v>10</v>
      </c>
    </row>
    <row r="85" spans="1:5">
      <c r="A85" t="s">
        <v>98</v>
      </c>
      <c r="B85" t="s">
        <v>15</v>
      </c>
      <c r="C85" s="3">
        <v>46874</v>
      </c>
      <c r="D85">
        <v>10</v>
      </c>
    </row>
    <row r="86" spans="1:5">
      <c r="A86" t="s">
        <v>99</v>
      </c>
      <c r="B86" t="s">
        <v>15</v>
      </c>
      <c r="C86" s="3">
        <v>47088</v>
      </c>
      <c r="D86">
        <v>10</v>
      </c>
      <c r="E86">
        <v>10</v>
      </c>
    </row>
    <row r="87" spans="1:5">
      <c r="A87" t="s">
        <v>100</v>
      </c>
      <c r="B87" t="s">
        <v>15</v>
      </c>
      <c r="C87" s="3">
        <v>46508</v>
      </c>
      <c r="D87">
        <v>5</v>
      </c>
      <c r="E87">
        <v>5</v>
      </c>
    </row>
    <row r="88" spans="1:5">
      <c r="A88" t="s">
        <v>101</v>
      </c>
      <c r="B88" t="s">
        <v>15</v>
      </c>
      <c r="C88" s="3">
        <v>46539</v>
      </c>
      <c r="D88">
        <v>19</v>
      </c>
      <c r="E88">
        <v>5</v>
      </c>
    </row>
    <row r="89" spans="1:5">
      <c r="A89" t="s">
        <v>102</v>
      </c>
      <c r="B89" t="s">
        <v>103</v>
      </c>
      <c r="D89">
        <v>660</v>
      </c>
      <c r="E89">
        <v>0</v>
      </c>
    </row>
    <row r="90" spans="1:5">
      <c r="A90" t="s">
        <v>104</v>
      </c>
      <c r="B90" t="s">
        <v>15</v>
      </c>
      <c r="C90" s="3">
        <v>47818</v>
      </c>
      <c r="D90">
        <v>69</v>
      </c>
      <c r="E90">
        <v>60</v>
      </c>
    </row>
    <row r="91" spans="1:5">
      <c r="A91" t="s">
        <v>105</v>
      </c>
      <c r="B91" t="s">
        <v>15</v>
      </c>
      <c r="C91" s="3">
        <v>46874</v>
      </c>
      <c r="D91">
        <v>7</v>
      </c>
      <c r="E91">
        <v>7</v>
      </c>
    </row>
    <row r="92" spans="1:5">
      <c r="A92" t="s">
        <v>106</v>
      </c>
      <c r="B92" t="s">
        <v>15</v>
      </c>
      <c r="C92" s="3">
        <v>47818</v>
      </c>
      <c r="D92">
        <v>25</v>
      </c>
      <c r="E92">
        <v>24</v>
      </c>
    </row>
    <row r="93" spans="1:5">
      <c r="A93" t="s">
        <v>107</v>
      </c>
      <c r="B93" t="s">
        <v>15</v>
      </c>
      <c r="C93" s="3">
        <v>47270</v>
      </c>
      <c r="D93">
        <v>52</v>
      </c>
      <c r="E93">
        <v>50</v>
      </c>
    </row>
    <row r="94" spans="1:5">
      <c r="A94" t="s">
        <v>108</v>
      </c>
      <c r="B94" t="s">
        <v>15</v>
      </c>
      <c r="C94" s="3">
        <v>47150</v>
      </c>
      <c r="D94">
        <v>39</v>
      </c>
      <c r="E94">
        <v>39</v>
      </c>
    </row>
    <row r="95" spans="1:5">
      <c r="A95" t="s">
        <v>109</v>
      </c>
      <c r="B95" t="s">
        <v>15</v>
      </c>
      <c r="C95" s="3">
        <v>47818</v>
      </c>
      <c r="D95">
        <v>18</v>
      </c>
      <c r="E95">
        <v>18</v>
      </c>
    </row>
    <row r="96" spans="1:5">
      <c r="A96" t="s">
        <v>110</v>
      </c>
      <c r="B96" t="s">
        <v>15</v>
      </c>
      <c r="C96" s="3">
        <v>47119</v>
      </c>
      <c r="D96">
        <v>17</v>
      </c>
      <c r="E96">
        <v>17</v>
      </c>
    </row>
    <row r="97" spans="1:5">
      <c r="A97" t="s">
        <v>111</v>
      </c>
      <c r="B97" t="s">
        <v>15</v>
      </c>
      <c r="C97" s="3">
        <v>47818</v>
      </c>
      <c r="D97">
        <v>136</v>
      </c>
      <c r="E97">
        <v>136</v>
      </c>
    </row>
    <row r="98" spans="1:5">
      <c r="A98" t="s">
        <v>112</v>
      </c>
      <c r="B98" t="s">
        <v>15</v>
      </c>
      <c r="C98" s="3">
        <v>47239</v>
      </c>
      <c r="D98">
        <v>71</v>
      </c>
      <c r="E98">
        <v>70</v>
      </c>
    </row>
    <row r="99" spans="1:5">
      <c r="A99" t="s">
        <v>113</v>
      </c>
      <c r="B99" t="s">
        <v>15</v>
      </c>
      <c r="C99" s="3">
        <v>47331</v>
      </c>
      <c r="D99">
        <v>6</v>
      </c>
      <c r="E99">
        <v>6</v>
      </c>
    </row>
    <row r="100" spans="1:5">
      <c r="A100" t="s">
        <v>114</v>
      </c>
      <c r="B100" t="s">
        <v>15</v>
      </c>
      <c r="C100" s="3">
        <v>47757</v>
      </c>
      <c r="D100">
        <v>888</v>
      </c>
      <c r="E100">
        <v>74</v>
      </c>
    </row>
    <row r="101" spans="1:5">
      <c r="A101" t="s">
        <v>115</v>
      </c>
      <c r="B101" t="s">
        <v>15</v>
      </c>
      <c r="C101" s="3">
        <v>47453</v>
      </c>
      <c r="D101">
        <v>257</v>
      </c>
      <c r="E101">
        <v>314</v>
      </c>
    </row>
    <row r="102" spans="1:5">
      <c r="A102" t="s">
        <v>116</v>
      </c>
      <c r="B102" t="s">
        <v>15</v>
      </c>
      <c r="C102" s="3">
        <v>47757</v>
      </c>
      <c r="D102">
        <v>300</v>
      </c>
      <c r="E102">
        <v>316</v>
      </c>
    </row>
    <row r="103" spans="1:5">
      <c r="A103" t="s">
        <v>117</v>
      </c>
      <c r="B103" t="s">
        <v>15</v>
      </c>
      <c r="C103" s="3">
        <v>46966</v>
      </c>
      <c r="D103">
        <v>36</v>
      </c>
      <c r="E103">
        <v>84</v>
      </c>
    </row>
    <row r="104" spans="1:5">
      <c r="A104" t="s">
        <v>118</v>
      </c>
      <c r="B104" t="s">
        <v>15</v>
      </c>
      <c r="C104" s="3">
        <v>46784</v>
      </c>
      <c r="D104">
        <v>500</v>
      </c>
      <c r="E104">
        <v>200</v>
      </c>
    </row>
    <row r="105" spans="1:5">
      <c r="A105" t="s">
        <v>119</v>
      </c>
      <c r="B105" t="s">
        <v>15</v>
      </c>
      <c r="C105" s="3">
        <v>47574</v>
      </c>
      <c r="D105">
        <v>686</v>
      </c>
      <c r="E105">
        <v>200</v>
      </c>
    </row>
    <row r="106" spans="1:5">
      <c r="A106" t="s">
        <v>120</v>
      </c>
      <c r="B106" t="s">
        <v>15</v>
      </c>
      <c r="C106" s="3">
        <v>47515</v>
      </c>
      <c r="D106">
        <v>482</v>
      </c>
      <c r="E106">
        <v>101</v>
      </c>
    </row>
    <row r="107" spans="1:5">
      <c r="A107" t="s">
        <v>121</v>
      </c>
      <c r="B107" t="s">
        <v>15</v>
      </c>
      <c r="C107" s="3">
        <v>46174</v>
      </c>
      <c r="D107">
        <v>267</v>
      </c>
      <c r="E107">
        <v>225</v>
      </c>
    </row>
    <row r="108" spans="1:5">
      <c r="A108" t="s">
        <v>122</v>
      </c>
      <c r="B108" t="s">
        <v>15</v>
      </c>
      <c r="C108" s="3">
        <v>47604</v>
      </c>
      <c r="D108">
        <v>815</v>
      </c>
      <c r="E108">
        <v>814</v>
      </c>
    </row>
    <row r="109" spans="1:5">
      <c r="A109" t="s">
        <v>123</v>
      </c>
      <c r="B109" t="s">
        <v>15</v>
      </c>
      <c r="C109" s="3">
        <v>47574</v>
      </c>
      <c r="D109">
        <v>20</v>
      </c>
      <c r="E109">
        <v>181</v>
      </c>
    </row>
    <row r="110" spans="1:5">
      <c r="A110" t="s">
        <v>124</v>
      </c>
      <c r="B110" t="s">
        <v>15</v>
      </c>
      <c r="C110" s="3">
        <v>47574</v>
      </c>
      <c r="D110">
        <v>1120</v>
      </c>
      <c r="E110">
        <v>60</v>
      </c>
    </row>
    <row r="111" spans="1:5">
      <c r="A111" t="s">
        <v>125</v>
      </c>
      <c r="B111" t="s">
        <v>15</v>
      </c>
      <c r="C111" s="3">
        <v>47362</v>
      </c>
      <c r="D111">
        <v>350</v>
      </c>
      <c r="E111">
        <v>213</v>
      </c>
    </row>
    <row r="112" spans="1:5">
      <c r="A112" t="s">
        <v>126</v>
      </c>
      <c r="B112" t="s">
        <v>15</v>
      </c>
      <c r="D112">
        <v>0</v>
      </c>
      <c r="E112" t="s">
        <v>7</v>
      </c>
    </row>
    <row r="113" spans="1:5">
      <c r="A113" t="s">
        <v>127</v>
      </c>
      <c r="B113" t="s">
        <v>15</v>
      </c>
      <c r="C113" s="3">
        <v>47574</v>
      </c>
      <c r="D113">
        <v>159</v>
      </c>
      <c r="E113">
        <v>343</v>
      </c>
    </row>
    <row r="114" spans="1:5">
      <c r="A114" t="s">
        <v>128</v>
      </c>
      <c r="B114" t="s">
        <v>15</v>
      </c>
      <c r="C114" s="3">
        <v>47574</v>
      </c>
      <c r="D114">
        <v>1295</v>
      </c>
      <c r="E114">
        <v>890</v>
      </c>
    </row>
    <row r="115" spans="1:5">
      <c r="A115" t="s">
        <v>129</v>
      </c>
      <c r="B115" t="s">
        <v>15</v>
      </c>
      <c r="C115" s="3">
        <v>47665</v>
      </c>
      <c r="D115">
        <v>60</v>
      </c>
      <c r="E115" t="s">
        <v>7</v>
      </c>
    </row>
    <row r="116" spans="1:5">
      <c r="A116" t="s">
        <v>130</v>
      </c>
      <c r="B116" t="s">
        <v>15</v>
      </c>
      <c r="C116" s="3">
        <v>47696</v>
      </c>
      <c r="D116">
        <v>173</v>
      </c>
      <c r="E116" t="s">
        <v>7</v>
      </c>
    </row>
    <row r="117" spans="1:5">
      <c r="A117" t="s">
        <v>131</v>
      </c>
      <c r="B117" t="s">
        <v>15</v>
      </c>
      <c r="C117" s="3">
        <v>47362</v>
      </c>
      <c r="D117">
        <v>6</v>
      </c>
      <c r="E117">
        <v>15</v>
      </c>
    </row>
    <row r="118" spans="1:5">
      <c r="A118" t="s">
        <v>132</v>
      </c>
      <c r="B118" t="s">
        <v>15</v>
      </c>
      <c r="C118" s="3">
        <v>47392</v>
      </c>
      <c r="D118">
        <v>25</v>
      </c>
      <c r="E118" t="s">
        <v>7</v>
      </c>
    </row>
    <row r="119" spans="1:5">
      <c r="A119" t="s">
        <v>133</v>
      </c>
      <c r="B119" t="s">
        <v>15</v>
      </c>
      <c r="C119" s="3">
        <v>46935</v>
      </c>
      <c r="D119">
        <v>28</v>
      </c>
      <c r="E119" t="s">
        <v>7</v>
      </c>
    </row>
    <row r="120" spans="1:5">
      <c r="A120" t="s">
        <v>134</v>
      </c>
      <c r="B120" t="s">
        <v>15</v>
      </c>
      <c r="C120" s="3">
        <v>46935</v>
      </c>
      <c r="D120">
        <v>70</v>
      </c>
      <c r="E120">
        <v>48</v>
      </c>
    </row>
    <row r="121" spans="1:5">
      <c r="A121" t="s">
        <v>135</v>
      </c>
      <c r="B121" t="s">
        <v>15</v>
      </c>
      <c r="C121" s="3">
        <v>46388</v>
      </c>
      <c r="D121">
        <v>48</v>
      </c>
      <c r="E121" t="s">
        <v>7</v>
      </c>
    </row>
    <row r="122" spans="1:5">
      <c r="A122" t="s">
        <v>136</v>
      </c>
      <c r="B122" t="s">
        <v>15</v>
      </c>
      <c r="C122" t="s">
        <v>7</v>
      </c>
      <c r="D122">
        <v>51</v>
      </c>
      <c r="E122">
        <v>21</v>
      </c>
    </row>
    <row r="123" spans="1:5">
      <c r="A123" t="s">
        <v>137</v>
      </c>
      <c r="B123" t="s">
        <v>15</v>
      </c>
      <c r="C123" t="s">
        <v>7</v>
      </c>
      <c r="D123">
        <v>3</v>
      </c>
      <c r="E123">
        <v>3</v>
      </c>
    </row>
    <row r="124" spans="1:5">
      <c r="A124" t="s">
        <v>138</v>
      </c>
      <c r="B124" t="s">
        <v>9</v>
      </c>
      <c r="C124" t="s">
        <v>7</v>
      </c>
      <c r="D124">
        <v>11</v>
      </c>
      <c r="E124">
        <v>16</v>
      </c>
    </row>
    <row r="125" spans="1:5">
      <c r="A125" t="s">
        <v>139</v>
      </c>
      <c r="B125" t="s">
        <v>15</v>
      </c>
      <c r="C125" t="s">
        <v>7</v>
      </c>
      <c r="D125">
        <v>12</v>
      </c>
      <c r="E125" t="s">
        <v>7</v>
      </c>
    </row>
    <row r="126" spans="1:5">
      <c r="A126" t="s">
        <v>140</v>
      </c>
      <c r="B126" t="s">
        <v>15</v>
      </c>
      <c r="C126" s="3">
        <v>46143</v>
      </c>
      <c r="D126">
        <v>900</v>
      </c>
      <c r="E126">
        <v>800</v>
      </c>
    </row>
    <row r="127" spans="1:5">
      <c r="A127" t="s">
        <v>141</v>
      </c>
      <c r="B127" t="s">
        <v>15</v>
      </c>
      <c r="D127">
        <v>3</v>
      </c>
      <c r="E127">
        <v>3</v>
      </c>
    </row>
    <row r="128" spans="1:5">
      <c r="A128" t="s">
        <v>142</v>
      </c>
      <c r="B128" t="s">
        <v>15</v>
      </c>
      <c r="C128" s="3">
        <v>44986</v>
      </c>
      <c r="D128">
        <v>2</v>
      </c>
      <c r="E128" t="s">
        <v>7</v>
      </c>
    </row>
    <row r="129" spans="1:5">
      <c r="A129" t="s">
        <v>143</v>
      </c>
      <c r="B129" t="s">
        <v>144</v>
      </c>
      <c r="C129" s="3">
        <v>47239</v>
      </c>
      <c r="D129">
        <v>7</v>
      </c>
      <c r="E129">
        <v>8</v>
      </c>
    </row>
    <row r="130" spans="1:5">
      <c r="A130" t="s">
        <v>145</v>
      </c>
      <c r="B130" t="s">
        <v>38</v>
      </c>
      <c r="C130" s="3">
        <v>47727</v>
      </c>
      <c r="D130">
        <v>3</v>
      </c>
      <c r="E130">
        <v>5</v>
      </c>
    </row>
    <row r="131" spans="1:5">
      <c r="A131" t="s">
        <v>146</v>
      </c>
      <c r="B131" t="s">
        <v>15</v>
      </c>
      <c r="C131" s="3">
        <v>47378</v>
      </c>
      <c r="D131">
        <v>7200</v>
      </c>
      <c r="E131" t="s">
        <v>7</v>
      </c>
    </row>
    <row r="132" spans="1:5">
      <c r="A132" t="s">
        <v>147</v>
      </c>
      <c r="B132" t="s">
        <v>26</v>
      </c>
      <c r="C132" t="s">
        <v>7</v>
      </c>
      <c r="D132">
        <v>6</v>
      </c>
      <c r="E132">
        <v>6</v>
      </c>
    </row>
    <row r="133" spans="1:5">
      <c r="A133" t="s">
        <v>148</v>
      </c>
      <c r="B133" t="s">
        <v>26</v>
      </c>
      <c r="C133" t="s">
        <v>7</v>
      </c>
      <c r="D133">
        <v>2</v>
      </c>
      <c r="E133">
        <v>2</v>
      </c>
    </row>
    <row r="134" spans="1:5">
      <c r="A134" t="s">
        <v>149</v>
      </c>
      <c r="B134" t="s">
        <v>26</v>
      </c>
      <c r="C134" t="s">
        <v>7</v>
      </c>
      <c r="D134">
        <v>5</v>
      </c>
      <c r="E134">
        <v>7</v>
      </c>
    </row>
    <row r="135" spans="1:5">
      <c r="A135" t="s">
        <v>150</v>
      </c>
      <c r="B135" t="s">
        <v>26</v>
      </c>
      <c r="C135" t="s">
        <v>7</v>
      </c>
      <c r="D135">
        <v>2</v>
      </c>
      <c r="E135">
        <v>2</v>
      </c>
    </row>
    <row r="136" spans="1:5">
      <c r="A136" t="s">
        <v>151</v>
      </c>
      <c r="B136" t="s">
        <v>26</v>
      </c>
      <c r="C136" t="s">
        <v>7</v>
      </c>
      <c r="D136">
        <v>7</v>
      </c>
      <c r="E136">
        <v>7</v>
      </c>
    </row>
    <row r="137" spans="1:5">
      <c r="A137" t="s">
        <v>152</v>
      </c>
      <c r="B137" t="s">
        <v>26</v>
      </c>
      <c r="C137" s="3">
        <v>47604</v>
      </c>
      <c r="D137">
        <v>51</v>
      </c>
      <c r="E137">
        <v>65</v>
      </c>
    </row>
    <row r="138" spans="1:5">
      <c r="A138" t="s">
        <v>153</v>
      </c>
      <c r="B138" t="s">
        <v>26</v>
      </c>
      <c r="C138" s="3">
        <v>46631</v>
      </c>
      <c r="D138">
        <v>69</v>
      </c>
      <c r="E138">
        <v>90</v>
      </c>
    </row>
    <row r="139" spans="1:5">
      <c r="A139" t="s">
        <v>154</v>
      </c>
      <c r="B139" t="s">
        <v>15</v>
      </c>
      <c r="C139" s="3">
        <v>47635</v>
      </c>
      <c r="D139">
        <v>29</v>
      </c>
      <c r="E139">
        <v>29</v>
      </c>
    </row>
    <row r="140" spans="1:5">
      <c r="A140" t="s">
        <v>155</v>
      </c>
      <c r="B140" t="s">
        <v>15</v>
      </c>
      <c r="C140" s="3">
        <v>47119</v>
      </c>
      <c r="D140">
        <v>9</v>
      </c>
      <c r="E140">
        <v>9</v>
      </c>
    </row>
    <row r="141" spans="1:5">
      <c r="A141" t="s">
        <v>156</v>
      </c>
      <c r="B141" t="s">
        <v>144</v>
      </c>
      <c r="C141" s="3">
        <v>46722</v>
      </c>
      <c r="D141">
        <v>25</v>
      </c>
      <c r="E141">
        <v>25</v>
      </c>
    </row>
    <row r="142" spans="1:5">
      <c r="A142" t="s">
        <v>157</v>
      </c>
      <c r="B142" t="s">
        <v>15</v>
      </c>
      <c r="C142" s="3">
        <v>47423</v>
      </c>
      <c r="D142">
        <v>900</v>
      </c>
      <c r="E142">
        <v>900</v>
      </c>
    </row>
    <row r="143" spans="1:5">
      <c r="A143" t="s">
        <v>158</v>
      </c>
      <c r="B143" t="s">
        <v>15</v>
      </c>
      <c r="C143" s="3">
        <v>47453</v>
      </c>
      <c r="D143">
        <v>400</v>
      </c>
      <c r="E143">
        <v>400</v>
      </c>
    </row>
    <row r="144" spans="1:5">
      <c r="A144" t="s">
        <v>159</v>
      </c>
      <c r="B144" t="s">
        <v>15</v>
      </c>
      <c r="C144" s="3">
        <v>47543</v>
      </c>
      <c r="D144">
        <v>200</v>
      </c>
      <c r="E144" t="s">
        <v>7</v>
      </c>
    </row>
    <row r="145" spans="1:5">
      <c r="A145" t="s">
        <v>160</v>
      </c>
      <c r="B145" t="s">
        <v>15</v>
      </c>
      <c r="C145" s="4">
        <v>46200</v>
      </c>
      <c r="D145">
        <v>200</v>
      </c>
      <c r="E145" t="s">
        <v>7</v>
      </c>
    </row>
    <row r="146" spans="1:5">
      <c r="A146" t="s">
        <v>161</v>
      </c>
      <c r="B146" t="s">
        <v>24</v>
      </c>
      <c r="C146" s="3">
        <v>47665</v>
      </c>
      <c r="D146">
        <v>253</v>
      </c>
      <c r="E146">
        <v>168</v>
      </c>
    </row>
    <row r="147" spans="1:5">
      <c r="A147" t="s">
        <v>162</v>
      </c>
      <c r="B147" t="s">
        <v>15</v>
      </c>
      <c r="C147" s="3">
        <v>47088</v>
      </c>
      <c r="D147">
        <v>170</v>
      </c>
      <c r="E147" t="s">
        <v>7</v>
      </c>
    </row>
    <row r="148" spans="1:5">
      <c r="A148" t="s">
        <v>163</v>
      </c>
      <c r="B148" t="s">
        <v>15</v>
      </c>
      <c r="C148" s="3">
        <v>47027</v>
      </c>
      <c r="D148">
        <v>269</v>
      </c>
      <c r="E148" t="s">
        <v>7</v>
      </c>
    </row>
    <row r="149" spans="1:5">
      <c r="A149" t="s">
        <v>164</v>
      </c>
      <c r="B149" t="s">
        <v>15</v>
      </c>
      <c r="C149" s="3">
        <v>46692</v>
      </c>
      <c r="D149">
        <v>22782</v>
      </c>
      <c r="E149">
        <v>5491</v>
      </c>
    </row>
    <row r="150" spans="1:5">
      <c r="A150" t="s">
        <v>165</v>
      </c>
      <c r="B150" t="s">
        <v>15</v>
      </c>
      <c r="C150" s="3">
        <v>47696</v>
      </c>
      <c r="D150">
        <v>2900</v>
      </c>
      <c r="E150">
        <v>1985</v>
      </c>
    </row>
    <row r="151" spans="1:5">
      <c r="A151" t="s">
        <v>166</v>
      </c>
      <c r="B151" t="s">
        <v>15</v>
      </c>
      <c r="C151" s="3">
        <v>46874</v>
      </c>
      <c r="D151">
        <v>25253</v>
      </c>
      <c r="E151">
        <v>25097</v>
      </c>
    </row>
    <row r="152" spans="1:5">
      <c r="A152" t="s">
        <v>167</v>
      </c>
      <c r="B152" t="s">
        <v>15</v>
      </c>
      <c r="C152" s="3">
        <v>47574</v>
      </c>
      <c r="D152">
        <v>105</v>
      </c>
      <c r="E152">
        <v>144</v>
      </c>
    </row>
    <row r="153" spans="1:5">
      <c r="A153" t="s">
        <v>168</v>
      </c>
      <c r="B153" t="s">
        <v>6</v>
      </c>
      <c r="C153" s="3">
        <v>47604</v>
      </c>
      <c r="D153">
        <v>452</v>
      </c>
      <c r="E153">
        <v>6</v>
      </c>
    </row>
    <row r="154" spans="1:5">
      <c r="A154" t="s">
        <v>169</v>
      </c>
      <c r="B154" t="s">
        <v>15</v>
      </c>
      <c r="C154" s="3">
        <v>46235</v>
      </c>
      <c r="D154">
        <v>3900</v>
      </c>
      <c r="E154">
        <v>86</v>
      </c>
    </row>
    <row r="155" spans="1:5">
      <c r="A155" t="s">
        <v>170</v>
      </c>
      <c r="B155" t="s">
        <v>15</v>
      </c>
      <c r="C155" s="3">
        <v>46235</v>
      </c>
      <c r="D155">
        <v>3100</v>
      </c>
      <c r="E155">
        <v>3</v>
      </c>
    </row>
    <row r="156" spans="1:5">
      <c r="A156" t="s">
        <v>171</v>
      </c>
      <c r="B156" t="s">
        <v>15</v>
      </c>
      <c r="C156" s="3">
        <v>46813</v>
      </c>
      <c r="D156">
        <v>59</v>
      </c>
      <c r="E156" t="s">
        <v>7</v>
      </c>
    </row>
    <row r="157" spans="1:5">
      <c r="A157" t="s">
        <v>172</v>
      </c>
      <c r="B157" t="s">
        <v>90</v>
      </c>
      <c r="C157" s="3"/>
      <c r="D157">
        <v>83</v>
      </c>
      <c r="E157" t="s">
        <v>7</v>
      </c>
    </row>
    <row r="158" spans="1:5">
      <c r="A158" t="s">
        <v>173</v>
      </c>
      <c r="B158" t="s">
        <v>15</v>
      </c>
      <c r="C158" s="3">
        <v>46569</v>
      </c>
      <c r="D158">
        <v>4350</v>
      </c>
      <c r="E158">
        <v>1300</v>
      </c>
    </row>
    <row r="159" spans="1:5">
      <c r="A159" t="s">
        <v>174</v>
      </c>
      <c r="B159" t="s">
        <v>175</v>
      </c>
      <c r="C159" s="3">
        <v>47209</v>
      </c>
      <c r="D159">
        <v>32</v>
      </c>
      <c r="E159">
        <v>35</v>
      </c>
    </row>
    <row r="160" spans="1:5">
      <c r="A160" t="s">
        <v>176</v>
      </c>
      <c r="B160" t="s">
        <v>175</v>
      </c>
      <c r="C160" s="3">
        <v>46508</v>
      </c>
      <c r="D160">
        <v>6</v>
      </c>
      <c r="E160">
        <v>8</v>
      </c>
    </row>
    <row r="161" spans="1:5">
      <c r="A161" t="s">
        <v>177</v>
      </c>
      <c r="B161" t="s">
        <v>178</v>
      </c>
      <c r="D161">
        <v>72</v>
      </c>
      <c r="E161" t="s">
        <v>7</v>
      </c>
    </row>
    <row r="162" spans="1:5">
      <c r="A162" t="s">
        <v>179</v>
      </c>
      <c r="B162" t="s">
        <v>15</v>
      </c>
      <c r="D162">
        <v>65</v>
      </c>
      <c r="E162">
        <v>65</v>
      </c>
    </row>
    <row r="163" spans="1:5">
      <c r="A163" t="s">
        <v>180</v>
      </c>
      <c r="B163" t="s">
        <v>15</v>
      </c>
      <c r="D163">
        <v>173</v>
      </c>
      <c r="E163" t="s">
        <v>7</v>
      </c>
    </row>
    <row r="164" spans="1:5">
      <c r="A164" t="s">
        <v>181</v>
      </c>
      <c r="B164" t="s">
        <v>182</v>
      </c>
      <c r="D164">
        <f>186/6</f>
        <v>31</v>
      </c>
      <c r="E164" t="s">
        <v>7</v>
      </c>
    </row>
    <row r="165" spans="1:5">
      <c r="A165" t="s">
        <v>183</v>
      </c>
      <c r="B165" t="s">
        <v>38</v>
      </c>
      <c r="D165">
        <v>73</v>
      </c>
      <c r="E165" t="s">
        <v>7</v>
      </c>
    </row>
  </sheetData>
  <pageMargins left="0.7" right="0.7" top="0.75" bottom="0.75" header="0.3" footer="0.3"/>
  <pageSetup paperSize="1" scale="85" orientation="portrait"/>
  <headerFooter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4" sqref="A14"/>
    </sheetView>
  </sheetViews>
  <sheetFormatPr defaultColWidth="9" defaultRowHeight="14.5" outlineLevelCol="4"/>
  <cols>
    <col min="1" max="1" width="25.8545454545455" customWidth="1"/>
    <col min="2" max="2" width="11.5727272727273" customWidth="1"/>
  </cols>
  <sheetData>
    <row r="1" s="1" customFormat="1" ht="29" spans="1:5">
      <c r="A1" s="1" t="s">
        <v>0</v>
      </c>
      <c r="B1" s="1" t="s">
        <v>184</v>
      </c>
      <c r="C1" s="2" t="s">
        <v>185</v>
      </c>
      <c r="D1" s="2"/>
      <c r="E1" s="2"/>
    </row>
    <row r="2" spans="1:5">
      <c r="A2" t="s">
        <v>186</v>
      </c>
      <c r="B2">
        <v>10</v>
      </c>
      <c r="C2" s="3">
        <v>45992</v>
      </c>
    </row>
    <row r="3" spans="1:5">
      <c r="A3" t="s">
        <v>100</v>
      </c>
      <c r="B3">
        <v>28</v>
      </c>
      <c r="C3" s="3">
        <v>44531</v>
      </c>
    </row>
    <row r="4" spans="1:5">
      <c r="A4" t="s">
        <v>101</v>
      </c>
      <c r="B4">
        <v>1</v>
      </c>
      <c r="C4" s="3">
        <v>44896</v>
      </c>
    </row>
    <row r="5" spans="1:5">
      <c r="A5" t="s">
        <v>187</v>
      </c>
      <c r="B5">
        <v>6</v>
      </c>
      <c r="C5" s="3">
        <v>45444</v>
      </c>
    </row>
    <row r="6" spans="1:5">
      <c r="A6" t="s">
        <v>188</v>
      </c>
      <c r="B6">
        <v>100</v>
      </c>
      <c r="C6" s="4">
        <v>46348</v>
      </c>
    </row>
    <row r="7" spans="1:5">
      <c r="A7" t="s">
        <v>189</v>
      </c>
      <c r="B7">
        <v>100</v>
      </c>
      <c r="C7" s="3">
        <v>45992</v>
      </c>
    </row>
    <row r="8" spans="1:5">
      <c r="A8" t="s">
        <v>190</v>
      </c>
      <c r="B8">
        <v>19</v>
      </c>
      <c r="C8" s="3">
        <v>45992</v>
      </c>
    </row>
    <row r="9" spans="1:5">
      <c r="A9" t="s">
        <v>191</v>
      </c>
      <c r="B9">
        <v>1</v>
      </c>
      <c r="C9" s="3">
        <v>45992</v>
      </c>
    </row>
    <row r="10" spans="1:5">
      <c r="A10" t="s">
        <v>192</v>
      </c>
      <c r="B10">
        <v>132</v>
      </c>
      <c r="C10" s="3">
        <v>45992</v>
      </c>
    </row>
    <row r="11" spans="1:5">
      <c r="A11" t="s">
        <v>193</v>
      </c>
      <c r="B11">
        <v>40</v>
      </c>
      <c r="C11" s="3">
        <v>46023</v>
      </c>
    </row>
    <row r="12" spans="1:5">
      <c r="A12" t="s">
        <v>194</v>
      </c>
      <c r="B12">
        <v>7</v>
      </c>
      <c r="C12" s="3">
        <v>46082</v>
      </c>
    </row>
    <row r="13" spans="1:5">
      <c r="A13" t="s">
        <v>195</v>
      </c>
      <c r="B13">
        <v>1</v>
      </c>
      <c r="C13" s="3">
        <v>46054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 take </vt:lpstr>
      <vt:lpstr>expired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2026-03-17T05:07:00Z</dcterms:created>
  <dcterms:modified xsi:type="dcterms:W3CDTF">2026-04-09T07:13:18Z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BA5F91E052CA4EC6962457A87E58705E_12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